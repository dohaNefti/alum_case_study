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ftid\Desktop\These\IJPR\"/>
    </mc:Choice>
  </mc:AlternateContent>
  <xr:revisionPtr revIDLastSave="0" documentId="13_ncr:1_{A44AA665-B922-4106-90DD-D279A0ED9485}" xr6:coauthVersionLast="47" xr6:coauthVersionMax="47" xr10:uidLastSave="{00000000-0000-0000-0000-000000000000}"/>
  <bookViews>
    <workbookView xWindow="-110" yWindow="-110" windowWidth="19420" windowHeight="10300" activeTab="8" xr2:uid="{AD8A5FDA-3471-4D49-9A4F-0F553D295C37}"/>
  </bookViews>
  <sheets>
    <sheet name="A0" sheetId="8" r:id="rId1"/>
    <sheet name="B0" sheetId="2" r:id="rId2"/>
    <sheet name="A1" sheetId="1" r:id="rId3"/>
    <sheet name="B1" sheetId="9" r:id="rId4"/>
    <sheet name="A2" sheetId="5" r:id="rId5"/>
    <sheet name="B2" sheetId="6" r:id="rId6"/>
    <sheet name="C" sheetId="11" r:id="rId7"/>
    <sheet name="F0" sheetId="4" r:id="rId8"/>
    <sheet name="F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" i="9" l="1"/>
  <c r="B24" i="9"/>
  <c r="F26" i="6"/>
  <c r="F24" i="6"/>
  <c r="F21" i="6"/>
  <c r="F17" i="6"/>
  <c r="F16" i="6"/>
  <c r="F13" i="6"/>
  <c r="F12" i="6"/>
  <c r="F11" i="6"/>
  <c r="C4" i="8"/>
  <c r="E28" i="6"/>
  <c r="E26" i="6"/>
  <c r="B26" i="6"/>
  <c r="E24" i="6"/>
  <c r="B24" i="6"/>
  <c r="E16" i="6"/>
  <c r="E14" i="6"/>
  <c r="E9" i="6"/>
  <c r="E8" i="6"/>
  <c r="E6" i="6"/>
  <c r="E5" i="6"/>
  <c r="C5" i="5"/>
  <c r="B26" i="2"/>
  <c r="B24" i="2"/>
  <c r="C4" i="1"/>
</calcChain>
</file>

<file path=xl/sharedStrings.xml><?xml version="1.0" encoding="utf-8"?>
<sst xmlns="http://schemas.openxmlformats.org/spreadsheetml/2006/main" count="167" uniqueCount="53">
  <si>
    <t>Primary aluminum production</t>
  </si>
  <si>
    <t>Remelting and DC casting</t>
  </si>
  <si>
    <t>Sheet rolling</t>
  </si>
  <si>
    <t>Aluminium sheet</t>
  </si>
  <si>
    <t>Aluminum ingot for rolling</t>
  </si>
  <si>
    <t xml:space="preserve">Primary Al ingot </t>
  </si>
  <si>
    <t>Combined hot and cold rolling</t>
  </si>
  <si>
    <t>Water consumption</t>
  </si>
  <si>
    <t>Chlorine</t>
  </si>
  <si>
    <t>Argon</t>
  </si>
  <si>
    <t>Chlorine, to air</t>
  </si>
  <si>
    <t>NOx, as nitrogen dioxide, to air</t>
  </si>
  <si>
    <t>Hydrogen chloride, to air</t>
  </si>
  <si>
    <t>Sulphur dioxide SO2, to air</t>
  </si>
  <si>
    <t>Hydrogen fluoride, to air</t>
  </si>
  <si>
    <t>Acids, to air</t>
  </si>
  <si>
    <t>Lead, to air</t>
  </si>
  <si>
    <t>NMVOC, to air</t>
  </si>
  <si>
    <t>Water vapor, to air</t>
  </si>
  <si>
    <t>Aluminum, to water</t>
  </si>
  <si>
    <t xml:space="preserve">Chemical oxygen demand (COD), to water </t>
  </si>
  <si>
    <t>Biological oxygen demand (BOD), to water</t>
  </si>
  <si>
    <t>Chromium, to water</t>
  </si>
  <si>
    <t>Heavy metals, to water</t>
  </si>
  <si>
    <t>Phosphorus, to water</t>
  </si>
  <si>
    <t>Waste</t>
  </si>
  <si>
    <t>Energy, unspecified</t>
  </si>
  <si>
    <t>Energy, from gaz natural</t>
  </si>
  <si>
    <t>Natural gaz, m3</t>
  </si>
  <si>
    <t>Nitrogen oxide</t>
  </si>
  <si>
    <t>Mercury, to air</t>
  </si>
  <si>
    <t>Mercury, to water</t>
  </si>
  <si>
    <t>Carbon dioxide, fossil</t>
  </si>
  <si>
    <t>Methane, tetrafluoro-, R-14, to air</t>
  </si>
  <si>
    <t>Ethane, hexafluoro-, HFC-116, to air</t>
  </si>
  <si>
    <t>Demand</t>
  </si>
  <si>
    <t>Scrap management</t>
  </si>
  <si>
    <t>Cans recycling</t>
  </si>
  <si>
    <t>Aluminum sheet scrap</t>
  </si>
  <si>
    <t>Alum rolling scrap</t>
  </si>
  <si>
    <t>Secondary Al ingot</t>
  </si>
  <si>
    <t>Recycling</t>
  </si>
  <si>
    <t>Solids, CML 1992</t>
  </si>
  <si>
    <t>water use no LT</t>
  </si>
  <si>
    <t>acidification: terrestrial no LT</t>
  </si>
  <si>
    <t>particulate matter formation no LT</t>
  </si>
  <si>
    <t>photochemical oxidant formation: human health no LT</t>
  </si>
  <si>
    <t>photochemical oxidant formation: terrestrial ecosystems no LT</t>
  </si>
  <si>
    <t>eutrophication: freshwater no LT</t>
  </si>
  <si>
    <t>energy resources: non-renewable, fossil no LT</t>
  </si>
  <si>
    <t>climate change no LT</t>
  </si>
  <si>
    <t>Chemical oxygen demand (COD), to water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</si>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</sst>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applyBorder="1"/>
    <xf numFmtId="164" fontId="0" fillId="0" borderId="0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Fill="1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left" vertical="center" readingOrder="1"/>
    </xf>
    <xf numFmtId="0" fontId="2" fillId="0" borderId="0" xfId="0" applyNumberFormat="1" applyFont="1"/>
    <xf numFmtId="0" fontId="2" fillId="0" borderId="0" xfId="0" applyFont="1" applyBorder="1" applyAlignment="1">
      <alignment wrapText="1"/>
    </xf>
    <xf numFmtId="0" fontId="2" fillId="0" borderId="0" xfId="0" applyFont="1" applyBorder="1"/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D2686A-6475-4160-8731-3F1D7606E552}" name="CMatrixOrdered" displayName="CMatrixOrdered" ref="A1:AC9" headerRowDxfId="1">
  <tableColumns count="29">
    <tableColumn id="1" xr3:uid="{D5351050-EF59-47E7-9CEC-FD6DDB33665B}" name="Impact" dataDxfId="0"/>
    <tableColumn id="3" xr3:uid="{45221044-1AD4-4AC0-AA4F-5447717BA3B0}" name="Water consumption"/>
    <tableColumn id="4" xr3:uid="{4B79EB1A-1B8E-4D13-9E25-A252E60C66CC}" name="Chlorine"/>
    <tableColumn id="5" xr3:uid="{8C6E9119-2518-465E-A211-A03D43B3E860}" name="Argon"/>
    <tableColumn id="6" xr3:uid="{C24A2E0C-9591-4D10-AC02-122941D826BB}" name="Chlorine, to air"/>
    <tableColumn id="7" xr3:uid="{3291211F-7A83-4D5D-814A-4E64246BCFE2}" name="Nitrogen oxide"/>
    <tableColumn id="8" xr3:uid="{7BB34750-B0FE-4D5F-AB38-7E8DA349BCE7}" name="NOx, as nitrogen dioxide, to air"/>
    <tableColumn id="9" xr3:uid="{C92E7E93-7858-4151-8A3C-1494E4440CC1}" name="Hydrogen chloride, to air"/>
    <tableColumn id="10" xr3:uid="{756B1B2F-176E-46F7-9580-A26AD8259DA4}" name="Sulphur dioxide SO2, to air"/>
    <tableColumn id="11" xr3:uid="{617C7F05-3D5B-42B3-81F5-C8C123E8B675}" name="Hydrogen fluoride, to air"/>
    <tableColumn id="12" xr3:uid="{4A8588E3-E1B1-43A3-8188-36F84F6606FE}" name="Acids, to air"/>
    <tableColumn id="13" xr3:uid="{36C296E4-5002-4C2D-9365-50AD5620FB95}" name="Lead, to air"/>
    <tableColumn id="14" xr3:uid="{4CCEA464-31E5-4F92-8685-35237D1C9DF5}" name="NMVOC, to air"/>
    <tableColumn id="15" xr3:uid="{140281AF-AC17-4BDA-A99B-747BB7C522D6}" name="Water vapor, to air"/>
    <tableColumn id="16" xr3:uid="{85B974AB-F1B7-4AE3-803B-029ECDFCBF64}" name="Aluminum, to water"/>
    <tableColumn id="17" xr3:uid="{CEA20421-1174-428D-AF9E-AFF13803C0ED}" name="Chemical oxygen demand (COD), to water"/>
    <tableColumn id="18" xr3:uid="{9F8E69F1-2F62-4B07-B35F-AD7CF80DDC93}" name="Biological oxygen demand (BOD), to water"/>
    <tableColumn id="19" xr3:uid="{59862D9C-25D2-4965-9B5D-3A984FB5CA25}" name="Chromium, to water"/>
    <tableColumn id="20" xr3:uid="{6BCD18C7-5007-4171-9C63-21C4AD04FD6D}" name="Mercury, to air"/>
    <tableColumn id="21" xr3:uid="{BCCD8B6B-D32F-4B3D-AE4D-ADB4E998FFCC}" name="Mercury, to water"/>
    <tableColumn id="22" xr3:uid="{A1CBFB90-19A1-4A96-98B3-B77C4D7AD984}" name="Heavy metals, to water"/>
    <tableColumn id="23" xr3:uid="{6B5F9F8D-2C2E-4D87-BC79-9DD5FCE553C5}" name="Phosphorus, to water"/>
    <tableColumn id="24" xr3:uid="{3466F937-D6AE-4817-8099-083518D55EC6}" name="Waste"/>
    <tableColumn id="25" xr3:uid="{A05DF812-6A3E-4315-AC0C-158E7F4E0AE4}" name="Energy, unspecified"/>
    <tableColumn id="26" xr3:uid="{10416D74-38A6-4904-8DDB-653B82C20FEC}" name="Energy, from gaz natural"/>
    <tableColumn id="27" xr3:uid="{E5625212-5B81-4B31-9F42-09B6F455F16F}" name="Natural gaz, m3"/>
    <tableColumn id="28" xr3:uid="{5329460A-27B2-43D0-8275-5946A7A75A97}" name="Carbon dioxide, fossil"/>
    <tableColumn id="29" xr3:uid="{794E2665-48CF-47A9-AF72-CE9DFB0CD3B3}" name="Methane, tetrafluoro-, R-14, to air"/>
    <tableColumn id="30" xr3:uid="{78F2C766-8B66-4596-B1B6-4547675F34E1}" name="Ethane, hexafluoro-, HFC-116, to ai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88537-996B-4F42-8A1E-938A6579488A}">
  <dimension ref="A1:D4"/>
  <sheetViews>
    <sheetView workbookViewId="0">
      <selection activeCell="B7" sqref="B7"/>
    </sheetView>
  </sheetViews>
  <sheetFormatPr baseColWidth="10" defaultRowHeight="14.5" x14ac:dyDescent="0.35"/>
  <cols>
    <col min="1" max="1" width="23.26953125" style="8" customWidth="1"/>
    <col min="2" max="2" width="25.81640625" customWidth="1"/>
    <col min="3" max="3" width="22.54296875" customWidth="1"/>
    <col min="4" max="4" width="14.54296875" customWidth="1"/>
    <col min="5" max="5" width="16.6328125" customWidth="1"/>
  </cols>
  <sheetData>
    <row r="1" spans="1:4" s="8" customFormat="1" x14ac:dyDescent="0.35">
      <c r="B1" s="8" t="s">
        <v>0</v>
      </c>
      <c r="C1" s="8" t="s">
        <v>1</v>
      </c>
      <c r="D1" s="8" t="s">
        <v>2</v>
      </c>
    </row>
    <row r="2" spans="1:4" x14ac:dyDescent="0.35">
      <c r="A2" s="8" t="s">
        <v>3</v>
      </c>
      <c r="B2">
        <v>0</v>
      </c>
      <c r="C2">
        <v>0</v>
      </c>
      <c r="D2">
        <v>1000</v>
      </c>
    </row>
    <row r="3" spans="1:4" x14ac:dyDescent="0.35">
      <c r="A3" s="8" t="s">
        <v>4</v>
      </c>
      <c r="B3">
        <v>0</v>
      </c>
      <c r="C3">
        <v>1000</v>
      </c>
      <c r="D3">
        <v>-1000</v>
      </c>
    </row>
    <row r="4" spans="1:4" x14ac:dyDescent="0.35">
      <c r="A4" s="8" t="s">
        <v>5</v>
      </c>
      <c r="B4">
        <v>1000</v>
      </c>
      <c r="C4" s="1">
        <f>-1000</f>
        <v>-1000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7ED-85EA-443E-8DC7-8C942FFAC589}">
  <dimension ref="A1:D29"/>
  <sheetViews>
    <sheetView workbookViewId="0">
      <selection activeCell="B13" sqref="B13"/>
    </sheetView>
  </sheetViews>
  <sheetFormatPr baseColWidth="10" defaultRowHeight="14.5" x14ac:dyDescent="0.35"/>
  <cols>
    <col min="1" max="1" width="36.08984375" style="8" customWidth="1"/>
    <col min="2" max="2" width="26.6328125" customWidth="1"/>
    <col min="3" max="3" width="21.90625" customWidth="1"/>
    <col min="4" max="4" width="26.90625" customWidth="1"/>
  </cols>
  <sheetData>
    <row r="1" spans="1:4" s="8" customFormat="1" x14ac:dyDescent="0.35">
      <c r="B1" s="8" t="s">
        <v>0</v>
      </c>
      <c r="C1" s="8" t="s">
        <v>1</v>
      </c>
      <c r="D1" s="8" t="s">
        <v>6</v>
      </c>
    </row>
    <row r="2" spans="1:4" x14ac:dyDescent="0.35">
      <c r="A2" s="8" t="s">
        <v>7</v>
      </c>
      <c r="B2" s="2">
        <v>-82.808959999999999</v>
      </c>
      <c r="C2" s="2">
        <v>-355</v>
      </c>
      <c r="D2" s="2">
        <v>-338</v>
      </c>
    </row>
    <row r="3" spans="1:4" x14ac:dyDescent="0.35">
      <c r="A3" s="8" t="s">
        <v>8</v>
      </c>
      <c r="B3" s="2">
        <v>0</v>
      </c>
      <c r="C3" s="2">
        <v>0</v>
      </c>
      <c r="D3" s="2">
        <v>0</v>
      </c>
    </row>
    <row r="4" spans="1:4" x14ac:dyDescent="0.35">
      <c r="A4" s="8" t="s">
        <v>9</v>
      </c>
      <c r="B4" s="2">
        <v>0</v>
      </c>
      <c r="C4" s="2">
        <v>470</v>
      </c>
      <c r="D4" s="2">
        <v>0</v>
      </c>
    </row>
    <row r="5" spans="1:4" x14ac:dyDescent="0.35">
      <c r="A5" s="8" t="s">
        <v>10</v>
      </c>
      <c r="B5" s="2">
        <v>0</v>
      </c>
      <c r="C5" s="2">
        <v>1.2199999999999999E-3</v>
      </c>
      <c r="D5" s="2">
        <v>0</v>
      </c>
    </row>
    <row r="6" spans="1:4" x14ac:dyDescent="0.35">
      <c r="A6" s="8" t="s">
        <v>29</v>
      </c>
      <c r="B6" s="2">
        <v>3.0345840000000002</v>
      </c>
      <c r="C6" s="2">
        <v>0</v>
      </c>
      <c r="D6" s="2">
        <v>0</v>
      </c>
    </row>
    <row r="7" spans="1:4" x14ac:dyDescent="0.35">
      <c r="A7" s="8" t="s">
        <v>11</v>
      </c>
      <c r="B7" s="2">
        <v>0</v>
      </c>
      <c r="C7" s="2">
        <v>7.8399999999999997E-2</v>
      </c>
      <c r="D7" s="2">
        <v>9.0600000000000003E-3</v>
      </c>
    </row>
    <row r="8" spans="1:4" x14ac:dyDescent="0.35">
      <c r="A8" s="8" t="s">
        <v>12</v>
      </c>
      <c r="B8" s="2">
        <v>0.02</v>
      </c>
      <c r="C8" s="2">
        <v>3.2199999999999999E-2</v>
      </c>
      <c r="D8" s="2">
        <v>0</v>
      </c>
    </row>
    <row r="9" spans="1:4" x14ac:dyDescent="0.35">
      <c r="A9" s="8" t="s">
        <v>13</v>
      </c>
      <c r="B9" s="2">
        <v>13.292088</v>
      </c>
      <c r="C9" s="2">
        <v>4.8099999999999998E-4</v>
      </c>
      <c r="D9" s="2">
        <v>4.1499999999999999E-5</v>
      </c>
    </row>
    <row r="10" spans="1:4" x14ac:dyDescent="0.35">
      <c r="A10" s="8" t="s">
        <v>14</v>
      </c>
      <c r="B10" s="2">
        <v>0.53592024000000005</v>
      </c>
      <c r="C10" s="2">
        <v>6.4599999999999996E-3</v>
      </c>
      <c r="D10" s="2">
        <v>0</v>
      </c>
    </row>
    <row r="11" spans="1:4" x14ac:dyDescent="0.35">
      <c r="A11" s="8" t="s">
        <v>15</v>
      </c>
      <c r="B11" s="2">
        <v>0</v>
      </c>
      <c r="C11" s="2">
        <v>0</v>
      </c>
      <c r="D11" s="2">
        <v>0</v>
      </c>
    </row>
    <row r="12" spans="1:4" x14ac:dyDescent="0.35">
      <c r="A12" s="8" t="s">
        <v>16</v>
      </c>
      <c r="B12" s="2">
        <v>0</v>
      </c>
      <c r="C12" s="2">
        <v>4.6400000000000003E-5</v>
      </c>
      <c r="D12" s="2">
        <v>0</v>
      </c>
    </row>
    <row r="13" spans="1:4" x14ac:dyDescent="0.35">
      <c r="A13" s="8" t="s">
        <v>17</v>
      </c>
      <c r="B13" s="2">
        <v>0</v>
      </c>
      <c r="C13" s="2">
        <v>3.6200000000000003E-2</v>
      </c>
      <c r="D13" s="2">
        <v>0.20300000000000001</v>
      </c>
    </row>
    <row r="14" spans="1:4" x14ac:dyDescent="0.35">
      <c r="A14" s="8" t="s">
        <v>18</v>
      </c>
      <c r="B14" s="2">
        <v>5916</v>
      </c>
      <c r="C14" s="2">
        <v>35.5</v>
      </c>
      <c r="D14" s="2">
        <v>33.799999999999997</v>
      </c>
    </row>
    <row r="15" spans="1:4" x14ac:dyDescent="0.35">
      <c r="A15" s="8" t="s">
        <v>19</v>
      </c>
      <c r="B15" s="2">
        <v>0</v>
      </c>
      <c r="C15" s="2">
        <v>2.03E-4</v>
      </c>
      <c r="D15" s="2">
        <v>3.2299999999999999E-4</v>
      </c>
    </row>
    <row r="16" spans="1:4" x14ac:dyDescent="0.35">
      <c r="A16" s="8" t="s">
        <v>20</v>
      </c>
      <c r="B16" s="2">
        <v>0.48439759999999998</v>
      </c>
      <c r="C16" s="2">
        <v>2.9799999999999998E-4</v>
      </c>
      <c r="D16" s="2">
        <v>0</v>
      </c>
    </row>
    <row r="17" spans="1:4" x14ac:dyDescent="0.35">
      <c r="A17" s="8" t="s">
        <v>21</v>
      </c>
      <c r="B17" s="2">
        <v>0.48176600000000003</v>
      </c>
      <c r="C17" s="2">
        <v>0</v>
      </c>
      <c r="D17" s="2">
        <v>2.41E-2</v>
      </c>
    </row>
    <row r="18" spans="1:4" x14ac:dyDescent="0.35">
      <c r="A18" s="8" t="s">
        <v>22</v>
      </c>
      <c r="B18" s="2">
        <v>1.1750400000000001E-4</v>
      </c>
      <c r="C18" s="2">
        <v>1.2499999999999999E-7</v>
      </c>
      <c r="D18" s="2">
        <v>6.5099999999999999E-4</v>
      </c>
    </row>
    <row r="19" spans="1:4" x14ac:dyDescent="0.35">
      <c r="A19" s="9" t="s">
        <v>30</v>
      </c>
      <c r="B19" s="2">
        <v>2.4675800000000002E-7</v>
      </c>
      <c r="C19" s="2">
        <v>0</v>
      </c>
      <c r="D19" s="2">
        <v>0</v>
      </c>
    </row>
    <row r="20" spans="1:4" x14ac:dyDescent="0.35">
      <c r="A20" s="9" t="s">
        <v>31</v>
      </c>
      <c r="B20" s="2">
        <v>0</v>
      </c>
      <c r="C20" s="2">
        <v>0</v>
      </c>
      <c r="D20" s="2">
        <v>0</v>
      </c>
    </row>
    <row r="21" spans="1:4" x14ac:dyDescent="0.35">
      <c r="A21" s="8" t="s">
        <v>23</v>
      </c>
      <c r="B21" s="2">
        <v>0</v>
      </c>
      <c r="C21" s="2">
        <v>4.07E-5</v>
      </c>
      <c r="D21" s="2">
        <v>0</v>
      </c>
    </row>
    <row r="22" spans="1:4" x14ac:dyDescent="0.35">
      <c r="A22" s="8" t="s">
        <v>24</v>
      </c>
      <c r="B22" s="2">
        <v>0</v>
      </c>
      <c r="C22" s="2">
        <v>2.87E-5</v>
      </c>
      <c r="D22" s="2">
        <v>8.6400000000000003E-6</v>
      </c>
    </row>
    <row r="23" spans="1:4" x14ac:dyDescent="0.35">
      <c r="A23" s="8" t="s">
        <v>25</v>
      </c>
      <c r="B23" s="2">
        <v>0</v>
      </c>
      <c r="C23" s="2">
        <v>0</v>
      </c>
      <c r="D23" s="2">
        <v>0</v>
      </c>
    </row>
    <row r="24" spans="1:4" x14ac:dyDescent="0.35">
      <c r="A24" s="8" t="s">
        <v>26</v>
      </c>
      <c r="B24" s="2">
        <f>60*1000</f>
        <v>60000</v>
      </c>
      <c r="C24" s="2">
        <v>337</v>
      </c>
      <c r="D24" s="2">
        <v>1440</v>
      </c>
    </row>
    <row r="25" spans="1:4" x14ac:dyDescent="0.35">
      <c r="A25" s="8" t="s">
        <v>27</v>
      </c>
      <c r="B25" s="2">
        <v>0</v>
      </c>
      <c r="C25" s="2">
        <v>3780</v>
      </c>
      <c r="D25" s="2">
        <v>2910</v>
      </c>
    </row>
    <row r="26" spans="1:4" x14ac:dyDescent="0.35">
      <c r="A26" s="8" t="s">
        <v>28</v>
      </c>
      <c r="B26" s="2">
        <f>150*1000</f>
        <v>150000</v>
      </c>
      <c r="C26" s="2">
        <v>0</v>
      </c>
      <c r="D26" s="2">
        <v>0</v>
      </c>
    </row>
    <row r="27" spans="1:4" x14ac:dyDescent="0.35">
      <c r="A27" s="9" t="s">
        <v>32</v>
      </c>
      <c r="B27" s="2">
        <v>1601.4</v>
      </c>
      <c r="C27" s="2">
        <v>0</v>
      </c>
      <c r="D27" s="2">
        <v>0</v>
      </c>
    </row>
    <row r="28" spans="1:4" x14ac:dyDescent="0.35">
      <c r="A28" s="9" t="s">
        <v>33</v>
      </c>
      <c r="B28" s="2">
        <v>4.0800000000000003E-2</v>
      </c>
      <c r="C28" s="2">
        <v>0</v>
      </c>
      <c r="D28" s="2">
        <v>0</v>
      </c>
    </row>
    <row r="29" spans="1:4" x14ac:dyDescent="0.35">
      <c r="A29" s="9" t="s">
        <v>34</v>
      </c>
      <c r="B29" s="2">
        <v>4.0800000000000003E-3</v>
      </c>
      <c r="C29" s="2">
        <v>0</v>
      </c>
      <c r="D29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BD03-B580-4192-82CA-778C377BF8A8}">
  <dimension ref="A1:D4"/>
  <sheetViews>
    <sheetView workbookViewId="0">
      <selection sqref="A1:XFD1"/>
    </sheetView>
  </sheetViews>
  <sheetFormatPr baseColWidth="10" defaultRowHeight="14.5" x14ac:dyDescent="0.35"/>
  <cols>
    <col min="1" max="1" width="24.08984375" style="8" customWidth="1"/>
  </cols>
  <sheetData>
    <row r="1" spans="1:4" s="8" customFormat="1" x14ac:dyDescent="0.35">
      <c r="B1" s="8" t="s">
        <v>0</v>
      </c>
      <c r="C1" s="8" t="s">
        <v>1</v>
      </c>
      <c r="D1" s="8" t="s">
        <v>2</v>
      </c>
    </row>
    <row r="2" spans="1:4" x14ac:dyDescent="0.35">
      <c r="A2" s="8" t="s">
        <v>3</v>
      </c>
      <c r="B2">
        <v>0</v>
      </c>
      <c r="C2">
        <v>0</v>
      </c>
      <c r="D2">
        <v>1000</v>
      </c>
    </row>
    <row r="3" spans="1:4" x14ac:dyDescent="0.35">
      <c r="A3" s="8" t="s">
        <v>4</v>
      </c>
      <c r="B3">
        <v>0</v>
      </c>
      <c r="C3">
        <v>1000</v>
      </c>
      <c r="D3">
        <v>-1310</v>
      </c>
    </row>
    <row r="4" spans="1:4" x14ac:dyDescent="0.35">
      <c r="A4" s="8" t="s">
        <v>5</v>
      </c>
      <c r="B4">
        <v>1000</v>
      </c>
      <c r="C4" s="1">
        <f>-978.71-61.3</f>
        <v>-1040.01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FE89C-8ED8-4229-A6F5-D5A67F6EFB45}">
  <dimension ref="A1:D29"/>
  <sheetViews>
    <sheetView workbookViewId="0">
      <selection sqref="A1:XFD1"/>
    </sheetView>
  </sheetViews>
  <sheetFormatPr baseColWidth="10" defaultRowHeight="14.5" x14ac:dyDescent="0.35"/>
  <cols>
    <col min="1" max="1" width="36.08984375" style="8" customWidth="1"/>
    <col min="2" max="2" width="26.6328125" customWidth="1"/>
    <col min="3" max="3" width="21.90625" customWidth="1"/>
    <col min="4" max="4" width="26.90625" customWidth="1"/>
  </cols>
  <sheetData>
    <row r="1" spans="1:4" s="8" customFormat="1" x14ac:dyDescent="0.35">
      <c r="B1" s="8" t="s">
        <v>0</v>
      </c>
      <c r="C1" s="8" t="s">
        <v>1</v>
      </c>
      <c r="D1" s="8" t="s">
        <v>6</v>
      </c>
    </row>
    <row r="2" spans="1:4" x14ac:dyDescent="0.35">
      <c r="A2" s="8" t="s">
        <v>7</v>
      </c>
      <c r="B2" s="2">
        <v>-82.808959999999999</v>
      </c>
      <c r="C2" s="2">
        <v>-355</v>
      </c>
      <c r="D2" s="2">
        <v>-338</v>
      </c>
    </row>
    <row r="3" spans="1:4" x14ac:dyDescent="0.35">
      <c r="A3" s="8" t="s">
        <v>8</v>
      </c>
      <c r="B3" s="2">
        <v>0</v>
      </c>
      <c r="C3" s="2">
        <v>0</v>
      </c>
      <c r="D3" s="2">
        <v>0</v>
      </c>
    </row>
    <row r="4" spans="1:4" x14ac:dyDescent="0.35">
      <c r="A4" s="8" t="s">
        <v>9</v>
      </c>
      <c r="B4" s="2">
        <v>0</v>
      </c>
      <c r="C4" s="2">
        <v>470</v>
      </c>
      <c r="D4" s="2">
        <v>0</v>
      </c>
    </row>
    <row r="5" spans="1:4" x14ac:dyDescent="0.35">
      <c r="A5" s="8" t="s">
        <v>10</v>
      </c>
      <c r="B5" s="2">
        <v>0</v>
      </c>
      <c r="C5" s="2">
        <v>1.2199999999999999E-3</v>
      </c>
      <c r="D5" s="2">
        <v>0</v>
      </c>
    </row>
    <row r="6" spans="1:4" x14ac:dyDescent="0.35">
      <c r="A6" s="8" t="s">
        <v>29</v>
      </c>
      <c r="B6" s="2">
        <v>3.0345840000000002</v>
      </c>
      <c r="C6" s="2">
        <v>0</v>
      </c>
      <c r="D6" s="2">
        <v>0</v>
      </c>
    </row>
    <row r="7" spans="1:4" x14ac:dyDescent="0.35">
      <c r="A7" s="8" t="s">
        <v>11</v>
      </c>
      <c r="B7" s="2">
        <v>0</v>
      </c>
      <c r="C7" s="2">
        <v>7.8399999999999997E-2</v>
      </c>
      <c r="D7" s="2">
        <v>9.0600000000000003E-3</v>
      </c>
    </row>
    <row r="8" spans="1:4" x14ac:dyDescent="0.35">
      <c r="A8" s="8" t="s">
        <v>12</v>
      </c>
      <c r="B8" s="2">
        <v>0.02</v>
      </c>
      <c r="C8" s="2">
        <v>3.2199999999999999E-2</v>
      </c>
      <c r="D8" s="2">
        <v>0</v>
      </c>
    </row>
    <row r="9" spans="1:4" x14ac:dyDescent="0.35">
      <c r="A9" s="8" t="s">
        <v>13</v>
      </c>
      <c r="B9" s="2">
        <v>13.292088</v>
      </c>
      <c r="C9" s="2">
        <v>4.8099999999999998E-4</v>
      </c>
      <c r="D9" s="2">
        <v>4.1499999999999999E-5</v>
      </c>
    </row>
    <row r="10" spans="1:4" x14ac:dyDescent="0.35">
      <c r="A10" s="8" t="s">
        <v>14</v>
      </c>
      <c r="B10" s="2">
        <v>0.53592024000000005</v>
      </c>
      <c r="C10" s="2">
        <v>6.4599999999999996E-3</v>
      </c>
      <c r="D10" s="2">
        <v>0</v>
      </c>
    </row>
    <row r="11" spans="1:4" x14ac:dyDescent="0.35">
      <c r="A11" s="8" t="s">
        <v>15</v>
      </c>
      <c r="B11" s="2">
        <v>0</v>
      </c>
      <c r="C11" s="2">
        <v>0</v>
      </c>
      <c r="D11" s="2">
        <v>0</v>
      </c>
    </row>
    <row r="12" spans="1:4" x14ac:dyDescent="0.35">
      <c r="A12" s="8" t="s">
        <v>16</v>
      </c>
      <c r="B12" s="2">
        <v>0</v>
      </c>
      <c r="C12" s="2">
        <v>4.6400000000000003E-5</v>
      </c>
      <c r="D12" s="2">
        <v>0</v>
      </c>
    </row>
    <row r="13" spans="1:4" x14ac:dyDescent="0.35">
      <c r="A13" s="8" t="s">
        <v>17</v>
      </c>
      <c r="B13" s="2">
        <v>0</v>
      </c>
      <c r="C13" s="2">
        <v>3.6200000000000003E-2</v>
      </c>
      <c r="D13" s="2">
        <v>0.20300000000000001</v>
      </c>
    </row>
    <row r="14" spans="1:4" x14ac:dyDescent="0.35">
      <c r="A14" s="8" t="s">
        <v>18</v>
      </c>
      <c r="B14" s="2">
        <v>5916</v>
      </c>
      <c r="C14" s="2">
        <v>35.5</v>
      </c>
      <c r="D14" s="2">
        <v>33.799999999999997</v>
      </c>
    </row>
    <row r="15" spans="1:4" x14ac:dyDescent="0.35">
      <c r="A15" s="8" t="s">
        <v>19</v>
      </c>
      <c r="B15" s="2">
        <v>0</v>
      </c>
      <c r="C15" s="2">
        <v>2.03E-4</v>
      </c>
      <c r="D15" s="2">
        <v>3.2299999999999999E-4</v>
      </c>
    </row>
    <row r="16" spans="1:4" x14ac:dyDescent="0.35">
      <c r="A16" s="8" t="s">
        <v>20</v>
      </c>
      <c r="B16" s="2">
        <v>0.48439759999999998</v>
      </c>
      <c r="C16" s="2">
        <v>2.9799999999999998E-4</v>
      </c>
      <c r="D16" s="2">
        <v>0</v>
      </c>
    </row>
    <row r="17" spans="1:4" x14ac:dyDescent="0.35">
      <c r="A17" s="8" t="s">
        <v>21</v>
      </c>
      <c r="B17" s="2">
        <v>0.48176600000000003</v>
      </c>
      <c r="C17" s="2">
        <v>0</v>
      </c>
      <c r="D17" s="2">
        <v>2.41E-2</v>
      </c>
    </row>
    <row r="18" spans="1:4" x14ac:dyDescent="0.35">
      <c r="A18" s="8" t="s">
        <v>22</v>
      </c>
      <c r="B18" s="2">
        <v>1.1750400000000001E-4</v>
      </c>
      <c r="C18" s="2">
        <v>1.2499999999999999E-7</v>
      </c>
      <c r="D18" s="2">
        <v>6.5099999999999999E-4</v>
      </c>
    </row>
    <row r="19" spans="1:4" x14ac:dyDescent="0.35">
      <c r="A19" s="9" t="s">
        <v>30</v>
      </c>
      <c r="B19" s="2">
        <v>2.4675800000000002E-7</v>
      </c>
      <c r="C19" s="2">
        <v>0</v>
      </c>
      <c r="D19" s="2">
        <v>0</v>
      </c>
    </row>
    <row r="20" spans="1:4" x14ac:dyDescent="0.35">
      <c r="A20" s="9" t="s">
        <v>31</v>
      </c>
      <c r="B20" s="2">
        <v>0</v>
      </c>
      <c r="C20" s="2">
        <v>0</v>
      </c>
      <c r="D20" s="2">
        <v>0</v>
      </c>
    </row>
    <row r="21" spans="1:4" x14ac:dyDescent="0.35">
      <c r="A21" s="8" t="s">
        <v>23</v>
      </c>
      <c r="B21" s="2">
        <v>0</v>
      </c>
      <c r="C21" s="2">
        <v>4.07E-5</v>
      </c>
      <c r="D21" s="2">
        <v>0</v>
      </c>
    </row>
    <row r="22" spans="1:4" x14ac:dyDescent="0.35">
      <c r="A22" s="8" t="s">
        <v>24</v>
      </c>
      <c r="B22" s="2">
        <v>0</v>
      </c>
      <c r="C22" s="2">
        <v>2.87E-5</v>
      </c>
      <c r="D22" s="2">
        <v>8.6400000000000003E-6</v>
      </c>
    </row>
    <row r="23" spans="1:4" x14ac:dyDescent="0.35">
      <c r="A23" s="8" t="s">
        <v>25</v>
      </c>
      <c r="B23" s="2">
        <v>0</v>
      </c>
      <c r="C23" s="2">
        <v>40.01</v>
      </c>
      <c r="D23" s="2">
        <v>310</v>
      </c>
    </row>
    <row r="24" spans="1:4" x14ac:dyDescent="0.35">
      <c r="A24" s="8" t="s">
        <v>26</v>
      </c>
      <c r="B24" s="2">
        <f>60*1000</f>
        <v>60000</v>
      </c>
      <c r="C24" s="2">
        <v>337</v>
      </c>
      <c r="D24" s="2">
        <v>1440</v>
      </c>
    </row>
    <row r="25" spans="1:4" x14ac:dyDescent="0.35">
      <c r="A25" s="8" t="s">
        <v>27</v>
      </c>
      <c r="B25" s="2">
        <v>0</v>
      </c>
      <c r="C25" s="2">
        <v>3780</v>
      </c>
      <c r="D25" s="2">
        <v>2910</v>
      </c>
    </row>
    <row r="26" spans="1:4" x14ac:dyDescent="0.35">
      <c r="A26" s="8" t="s">
        <v>28</v>
      </c>
      <c r="B26" s="2">
        <f>150*1000</f>
        <v>150000</v>
      </c>
      <c r="C26" s="2">
        <v>0</v>
      </c>
      <c r="D26" s="2">
        <v>0</v>
      </c>
    </row>
    <row r="27" spans="1:4" x14ac:dyDescent="0.35">
      <c r="A27" s="9" t="s">
        <v>32</v>
      </c>
      <c r="B27" s="2">
        <v>1601.4</v>
      </c>
      <c r="C27" s="2">
        <v>0</v>
      </c>
      <c r="D27" s="2">
        <v>0</v>
      </c>
    </row>
    <row r="28" spans="1:4" x14ac:dyDescent="0.35">
      <c r="A28" s="9" t="s">
        <v>33</v>
      </c>
      <c r="B28" s="2">
        <v>4.0800000000000003E-2</v>
      </c>
      <c r="C28" s="2">
        <v>0</v>
      </c>
      <c r="D28" s="2">
        <v>0</v>
      </c>
    </row>
    <row r="29" spans="1:4" x14ac:dyDescent="0.35">
      <c r="A29" s="9" t="s">
        <v>34</v>
      </c>
      <c r="B29" s="2">
        <v>4.0800000000000003E-3</v>
      </c>
      <c r="C29" s="2">
        <v>0</v>
      </c>
      <c r="D29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D642-E74D-4DA7-84F9-1105AD91AF70}">
  <dimension ref="A1:F7"/>
  <sheetViews>
    <sheetView workbookViewId="0">
      <selection activeCell="B14" sqref="B14"/>
    </sheetView>
  </sheetViews>
  <sheetFormatPr baseColWidth="10" defaultRowHeight="14.5" x14ac:dyDescent="0.35"/>
  <cols>
    <col min="1" max="1" width="22.81640625" style="8" bestFit="1" customWidth="1"/>
    <col min="2" max="2" width="26" customWidth="1"/>
    <col min="3" max="3" width="22.1796875" customWidth="1"/>
    <col min="4" max="4" width="16.26953125" customWidth="1"/>
    <col min="5" max="5" width="18.7265625" customWidth="1"/>
    <col min="6" max="7" width="29.1796875" customWidth="1"/>
  </cols>
  <sheetData>
    <row r="1" spans="1:6" s="8" customFormat="1" x14ac:dyDescent="0.35">
      <c r="B1" s="8" t="s">
        <v>0</v>
      </c>
      <c r="C1" s="8" t="s">
        <v>1</v>
      </c>
      <c r="D1" s="8" t="s">
        <v>2</v>
      </c>
      <c r="E1" s="8" t="s">
        <v>36</v>
      </c>
      <c r="F1" s="8" t="s">
        <v>37</v>
      </c>
    </row>
    <row r="2" spans="1:6" x14ac:dyDescent="0.35">
      <c r="A2" s="8" t="s">
        <v>3</v>
      </c>
      <c r="B2">
        <v>0</v>
      </c>
      <c r="C2">
        <v>0</v>
      </c>
      <c r="D2">
        <v>1000</v>
      </c>
      <c r="E2">
        <v>0</v>
      </c>
      <c r="F2">
        <v>0</v>
      </c>
    </row>
    <row r="3" spans="1:6" x14ac:dyDescent="0.35">
      <c r="A3" s="8" t="s">
        <v>4</v>
      </c>
      <c r="B3">
        <v>0</v>
      </c>
      <c r="C3">
        <v>1000</v>
      </c>
      <c r="D3">
        <v>-1310</v>
      </c>
      <c r="E3">
        <v>0</v>
      </c>
      <c r="F3">
        <v>0</v>
      </c>
    </row>
    <row r="4" spans="1:6" x14ac:dyDescent="0.35">
      <c r="A4" s="10" t="s">
        <v>38</v>
      </c>
      <c r="B4">
        <v>0</v>
      </c>
      <c r="C4">
        <v>0</v>
      </c>
      <c r="D4">
        <v>308</v>
      </c>
      <c r="E4">
        <v>-308</v>
      </c>
      <c r="F4">
        <v>0</v>
      </c>
    </row>
    <row r="5" spans="1:6" x14ac:dyDescent="0.35">
      <c r="A5" s="10" t="s">
        <v>39</v>
      </c>
      <c r="B5">
        <v>0</v>
      </c>
      <c r="C5">
        <f>(D4*D2)/D3</f>
        <v>-235.1145038167939</v>
      </c>
      <c r="D5">
        <v>0</v>
      </c>
      <c r="E5">
        <v>308</v>
      </c>
      <c r="F5">
        <v>0</v>
      </c>
    </row>
    <row r="6" spans="1:6" x14ac:dyDescent="0.35">
      <c r="A6" s="8" t="s">
        <v>5</v>
      </c>
      <c r="B6">
        <v>1000</v>
      </c>
      <c r="C6" s="1">
        <v>-743.6</v>
      </c>
      <c r="D6">
        <v>0</v>
      </c>
      <c r="E6">
        <v>0</v>
      </c>
      <c r="F6">
        <v>0</v>
      </c>
    </row>
    <row r="7" spans="1:6" x14ac:dyDescent="0.35">
      <c r="A7" s="8" t="s">
        <v>40</v>
      </c>
      <c r="B7">
        <v>0</v>
      </c>
      <c r="C7">
        <v>-61.3</v>
      </c>
      <c r="D7">
        <v>0</v>
      </c>
      <c r="E7">
        <v>0</v>
      </c>
      <c r="F7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A17E-D93D-4019-93D3-DB4DBD637531}">
  <dimension ref="A1:F29"/>
  <sheetViews>
    <sheetView workbookViewId="0">
      <selection sqref="A1:XFD1"/>
    </sheetView>
  </sheetViews>
  <sheetFormatPr baseColWidth="10" defaultRowHeight="14.5" x14ac:dyDescent="0.35"/>
  <cols>
    <col min="1" max="1" width="36.08984375" style="8" customWidth="1"/>
    <col min="2" max="2" width="26.6328125" customWidth="1"/>
    <col min="3" max="3" width="21.90625" customWidth="1"/>
    <col min="4" max="4" width="26.90625" customWidth="1"/>
    <col min="5" max="5" width="17.81640625" customWidth="1"/>
    <col min="6" max="6" width="11.81640625" bestFit="1" customWidth="1"/>
  </cols>
  <sheetData>
    <row r="1" spans="1:6" s="8" customFormat="1" x14ac:dyDescent="0.35">
      <c r="B1" s="11" t="s">
        <v>0</v>
      </c>
      <c r="C1" s="11" t="s">
        <v>1</v>
      </c>
      <c r="D1" s="11" t="s">
        <v>6</v>
      </c>
      <c r="E1" s="11" t="s">
        <v>36</v>
      </c>
      <c r="F1" s="11" t="s">
        <v>41</v>
      </c>
    </row>
    <row r="2" spans="1:6" x14ac:dyDescent="0.35">
      <c r="A2" s="8" t="s">
        <v>7</v>
      </c>
      <c r="B2" s="2">
        <v>-82.808959999999999</v>
      </c>
      <c r="C2" s="2">
        <v>-355</v>
      </c>
      <c r="D2" s="2">
        <v>-338</v>
      </c>
      <c r="E2" s="2">
        <v>0</v>
      </c>
      <c r="F2" s="2">
        <v>0</v>
      </c>
    </row>
    <row r="3" spans="1:6" x14ac:dyDescent="0.35">
      <c r="A3" s="8" t="s">
        <v>8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6" x14ac:dyDescent="0.35">
      <c r="A4" s="8" t="s">
        <v>9</v>
      </c>
      <c r="B4" s="2">
        <v>0</v>
      </c>
      <c r="C4" s="2">
        <v>470</v>
      </c>
      <c r="D4" s="2">
        <v>0</v>
      </c>
      <c r="E4" s="2">
        <v>0</v>
      </c>
      <c r="F4" s="2">
        <v>0</v>
      </c>
    </row>
    <row r="5" spans="1:6" x14ac:dyDescent="0.35">
      <c r="A5" s="8" t="s">
        <v>10</v>
      </c>
      <c r="B5" s="2">
        <v>0</v>
      </c>
      <c r="C5" s="2">
        <v>1.2199999999999999E-3</v>
      </c>
      <c r="D5" s="2">
        <v>0</v>
      </c>
      <c r="E5" s="2">
        <f>0.0000013*308</f>
        <v>4.0040000000000003E-4</v>
      </c>
      <c r="F5" s="2">
        <v>0</v>
      </c>
    </row>
    <row r="6" spans="1:6" x14ac:dyDescent="0.35">
      <c r="A6" s="8" t="s">
        <v>29</v>
      </c>
      <c r="B6" s="2">
        <v>3.0345840000000002</v>
      </c>
      <c r="C6" s="2">
        <v>0</v>
      </c>
      <c r="D6" s="2">
        <v>0</v>
      </c>
      <c r="E6" s="2">
        <f>0.000353*308</f>
        <v>0.108724</v>
      </c>
      <c r="F6" s="2">
        <v>0</v>
      </c>
    </row>
    <row r="7" spans="1:6" x14ac:dyDescent="0.35">
      <c r="A7" s="8" t="s">
        <v>11</v>
      </c>
      <c r="B7" s="2">
        <v>0</v>
      </c>
      <c r="C7" s="2">
        <v>7.8399999999999997E-2</v>
      </c>
      <c r="D7" s="2">
        <v>9.0600000000000003E-3</v>
      </c>
      <c r="E7" s="2">
        <v>0</v>
      </c>
      <c r="F7" s="2">
        <v>0</v>
      </c>
    </row>
    <row r="8" spans="1:6" x14ac:dyDescent="0.35">
      <c r="A8" s="8" t="s">
        <v>12</v>
      </c>
      <c r="B8" s="2">
        <v>0.02</v>
      </c>
      <c r="C8" s="2">
        <v>3.2199999999999999E-2</v>
      </c>
      <c r="D8" s="2">
        <v>0</v>
      </c>
      <c r="E8" s="2">
        <f>0.0000156*308</f>
        <v>4.8047999999999997E-3</v>
      </c>
      <c r="F8" s="2">
        <v>0</v>
      </c>
    </row>
    <row r="9" spans="1:6" x14ac:dyDescent="0.35">
      <c r="A9" s="8" t="s">
        <v>13</v>
      </c>
      <c r="B9" s="2">
        <v>13.292088</v>
      </c>
      <c r="C9" s="2">
        <v>4.8099999999999998E-4</v>
      </c>
      <c r="D9" s="2">
        <v>4.1499999999999999E-5</v>
      </c>
      <c r="E9" s="2">
        <f>0.0000647*308</f>
        <v>1.99276E-2</v>
      </c>
      <c r="F9" s="2">
        <v>0</v>
      </c>
    </row>
    <row r="10" spans="1:6" x14ac:dyDescent="0.35">
      <c r="A10" s="8" t="s">
        <v>14</v>
      </c>
      <c r="B10" s="2">
        <v>0.53592024000000005</v>
      </c>
      <c r="C10" s="2">
        <v>6.4599999999999996E-3</v>
      </c>
      <c r="D10" s="2">
        <v>0</v>
      </c>
      <c r="E10" s="2">
        <v>0</v>
      </c>
      <c r="F10" s="2">
        <v>0</v>
      </c>
    </row>
    <row r="11" spans="1:6" x14ac:dyDescent="0.35">
      <c r="A11" s="8" t="s">
        <v>15</v>
      </c>
      <c r="B11" s="2">
        <v>0</v>
      </c>
      <c r="C11" s="2">
        <v>0</v>
      </c>
      <c r="D11" s="2">
        <v>0</v>
      </c>
      <c r="E11" s="2">
        <v>0</v>
      </c>
      <c r="F11" s="2">
        <f>0.0000431*100</f>
        <v>4.3099999999999996E-3</v>
      </c>
    </row>
    <row r="12" spans="1:6" x14ac:dyDescent="0.35">
      <c r="A12" s="8" t="s">
        <v>16</v>
      </c>
      <c r="B12" s="2">
        <v>0</v>
      </c>
      <c r="C12" s="2">
        <v>4.6400000000000003E-5</v>
      </c>
      <c r="D12" s="2">
        <v>0</v>
      </c>
      <c r="E12" s="2">
        <v>0</v>
      </c>
      <c r="F12" s="2">
        <f>100*0.000000216</f>
        <v>2.16E-5</v>
      </c>
    </row>
    <row r="13" spans="1:6" x14ac:dyDescent="0.35">
      <c r="A13" s="8" t="s">
        <v>17</v>
      </c>
      <c r="B13" s="2">
        <v>0</v>
      </c>
      <c r="C13" s="2">
        <v>3.6200000000000003E-2</v>
      </c>
      <c r="D13" s="2">
        <v>0.20300000000000001</v>
      </c>
      <c r="E13" s="2">
        <v>0</v>
      </c>
      <c r="F13" s="2">
        <f>0.000047*100</f>
        <v>4.6999999999999993E-3</v>
      </c>
    </row>
    <row r="14" spans="1:6" x14ac:dyDescent="0.35">
      <c r="A14" s="8" t="s">
        <v>18</v>
      </c>
      <c r="B14" s="2">
        <v>5916</v>
      </c>
      <c r="C14" s="2">
        <v>35.5</v>
      </c>
      <c r="D14" s="2">
        <v>33.799999999999997</v>
      </c>
      <c r="E14" s="2">
        <f>0.0000000004*308</f>
        <v>1.2319999999999999E-7</v>
      </c>
      <c r="F14" s="2">
        <v>0</v>
      </c>
    </row>
    <row r="15" spans="1:6" x14ac:dyDescent="0.35">
      <c r="A15" s="8" t="s">
        <v>19</v>
      </c>
      <c r="B15" s="2">
        <v>0</v>
      </c>
      <c r="C15" s="2">
        <v>2.03E-4</v>
      </c>
      <c r="D15" s="2">
        <v>3.2299999999999999E-4</v>
      </c>
      <c r="E15" s="2">
        <v>0</v>
      </c>
      <c r="F15" s="2">
        <v>0</v>
      </c>
    </row>
    <row r="16" spans="1:6" x14ac:dyDescent="0.35">
      <c r="A16" s="8" t="s">
        <v>20</v>
      </c>
      <c r="B16" s="2">
        <v>0.48439759999999998</v>
      </c>
      <c r="C16" s="2">
        <v>2.9799999999999998E-4</v>
      </c>
      <c r="D16" s="2">
        <v>0</v>
      </c>
      <c r="E16" s="2">
        <f>0.0000352*308</f>
        <v>1.08416E-2</v>
      </c>
      <c r="F16" s="2">
        <f>100*0.00000083</f>
        <v>8.2999999999999998E-5</v>
      </c>
    </row>
    <row r="17" spans="1:6" x14ac:dyDescent="0.35">
      <c r="A17" s="8" t="s">
        <v>21</v>
      </c>
      <c r="B17" s="2">
        <v>0.48176600000000003</v>
      </c>
      <c r="C17" s="2">
        <v>0</v>
      </c>
      <c r="D17" s="2">
        <v>2.41E-2</v>
      </c>
      <c r="E17" s="2">
        <v>0</v>
      </c>
      <c r="F17" s="2">
        <f>0.00000000135*100</f>
        <v>1.35E-7</v>
      </c>
    </row>
    <row r="18" spans="1:6" x14ac:dyDescent="0.35">
      <c r="A18" s="8" t="s">
        <v>22</v>
      </c>
      <c r="B18" s="2">
        <v>1.1750400000000001E-4</v>
      </c>
      <c r="C18" s="2">
        <v>1.2499999999999999E-7</v>
      </c>
      <c r="D18" s="2">
        <v>6.5099999999999999E-4</v>
      </c>
      <c r="E18" s="2">
        <v>0</v>
      </c>
      <c r="F18" s="2">
        <v>0</v>
      </c>
    </row>
    <row r="19" spans="1:6" x14ac:dyDescent="0.35">
      <c r="A19" s="9" t="s">
        <v>30</v>
      </c>
      <c r="B19" s="2">
        <v>2.4675800000000002E-7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35">
      <c r="A20" s="9" t="s">
        <v>31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</row>
    <row r="21" spans="1:6" x14ac:dyDescent="0.35">
      <c r="A21" s="8" t="s">
        <v>23</v>
      </c>
      <c r="B21" s="2">
        <v>0</v>
      </c>
      <c r="C21" s="2">
        <v>4.07E-5</v>
      </c>
      <c r="D21" s="2">
        <v>0</v>
      </c>
      <c r="E21" s="2">
        <v>0</v>
      </c>
      <c r="F21" s="2">
        <f>100*0.0000225</f>
        <v>2.2500000000000003E-3</v>
      </c>
    </row>
    <row r="22" spans="1:6" x14ac:dyDescent="0.35">
      <c r="A22" s="8" t="s">
        <v>24</v>
      </c>
      <c r="B22" s="2">
        <v>0</v>
      </c>
      <c r="C22" s="2">
        <v>2.87E-5</v>
      </c>
      <c r="D22" s="2">
        <v>8.6400000000000003E-6</v>
      </c>
      <c r="E22" s="2">
        <v>0</v>
      </c>
      <c r="F22" s="2">
        <v>0</v>
      </c>
    </row>
    <row r="23" spans="1:6" x14ac:dyDescent="0.35">
      <c r="A23" s="8" t="s">
        <v>25</v>
      </c>
      <c r="B23" s="2">
        <v>0</v>
      </c>
      <c r="C23" s="2">
        <v>40.01</v>
      </c>
      <c r="D23" s="2">
        <v>2</v>
      </c>
      <c r="E23" s="2">
        <v>0</v>
      </c>
      <c r="F23" s="2">
        <v>0</v>
      </c>
    </row>
    <row r="24" spans="1:6" x14ac:dyDescent="0.35">
      <c r="A24" s="8" t="s">
        <v>26</v>
      </c>
      <c r="B24" s="2">
        <f>60*1000</f>
        <v>60000</v>
      </c>
      <c r="C24" s="2">
        <v>337</v>
      </c>
      <c r="D24" s="2">
        <v>1440</v>
      </c>
      <c r="E24" s="2">
        <f>0.124*308</f>
        <v>38.192</v>
      </c>
      <c r="F24" s="2">
        <f>0.66794*100</f>
        <v>66.793999999999997</v>
      </c>
    </row>
    <row r="25" spans="1:6" x14ac:dyDescent="0.35">
      <c r="A25" s="8" t="s">
        <v>27</v>
      </c>
      <c r="B25" s="2">
        <v>0</v>
      </c>
      <c r="C25" s="2">
        <v>3780</v>
      </c>
      <c r="D25" s="2">
        <v>2910</v>
      </c>
      <c r="E25" s="2">
        <v>0</v>
      </c>
      <c r="F25" s="2">
        <v>0</v>
      </c>
    </row>
    <row r="26" spans="1:6" x14ac:dyDescent="0.35">
      <c r="A26" s="8" t="s">
        <v>28</v>
      </c>
      <c r="B26" s="2">
        <f>150*1000</f>
        <v>150000</v>
      </c>
      <c r="C26" s="2">
        <v>0</v>
      </c>
      <c r="D26" s="2">
        <v>0</v>
      </c>
      <c r="E26" s="2">
        <f>3.68*308</f>
        <v>1133.44</v>
      </c>
      <c r="F26" s="2">
        <f>0.22285*100</f>
        <v>22.285</v>
      </c>
    </row>
    <row r="27" spans="1:6" x14ac:dyDescent="0.35">
      <c r="A27" s="9" t="s">
        <v>32</v>
      </c>
      <c r="B27" s="2">
        <v>1601.4</v>
      </c>
      <c r="C27" s="2">
        <v>0</v>
      </c>
      <c r="D27" s="2">
        <v>0</v>
      </c>
      <c r="E27" s="2">
        <v>0</v>
      </c>
      <c r="F27" s="2">
        <v>0</v>
      </c>
    </row>
    <row r="28" spans="1:6" x14ac:dyDescent="0.35">
      <c r="A28" s="9" t="s">
        <v>33</v>
      </c>
      <c r="B28" s="2">
        <v>4.0800000000000003E-2</v>
      </c>
      <c r="C28" s="2">
        <v>0</v>
      </c>
      <c r="D28" s="2">
        <v>0</v>
      </c>
      <c r="E28" s="2">
        <f>0.0000526*308</f>
        <v>1.6200799999999998E-2</v>
      </c>
      <c r="F28" s="2">
        <v>0</v>
      </c>
    </row>
    <row r="29" spans="1:6" x14ac:dyDescent="0.35">
      <c r="A29" s="9" t="s">
        <v>34</v>
      </c>
      <c r="B29" s="2">
        <v>4.0800000000000003E-3</v>
      </c>
      <c r="C29" s="2">
        <v>0</v>
      </c>
      <c r="D29" s="2">
        <v>0</v>
      </c>
      <c r="E29" s="2">
        <v>0</v>
      </c>
      <c r="F29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1356-88A1-4332-BC83-8C7F1D51145F}">
  <dimension ref="A1:AD12"/>
  <sheetViews>
    <sheetView workbookViewId="0">
      <selection activeCell="B16" sqref="B16"/>
    </sheetView>
  </sheetViews>
  <sheetFormatPr baseColWidth="10" defaultColWidth="9.453125" defaultRowHeight="14.5" x14ac:dyDescent="0.35"/>
  <cols>
    <col min="1" max="1" width="39.26953125" style="8" customWidth="1"/>
    <col min="2" max="29" width="17.453125" customWidth="1"/>
  </cols>
  <sheetData>
    <row r="1" spans="1:30" s="7" customFormat="1" ht="17" customHeight="1" x14ac:dyDescent="0.35">
      <c r="A1" s="5" t="s">
        <v>52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29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51</v>
      </c>
      <c r="Q1" s="5" t="s">
        <v>21</v>
      </c>
      <c r="R1" s="5" t="s">
        <v>22</v>
      </c>
      <c r="S1" s="5" t="s">
        <v>30</v>
      </c>
      <c r="T1" s="5" t="s">
        <v>31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32</v>
      </c>
      <c r="AB1" s="5" t="s">
        <v>33</v>
      </c>
      <c r="AC1" s="5" t="s">
        <v>34</v>
      </c>
      <c r="AD1" s="6"/>
    </row>
    <row r="2" spans="1:30" x14ac:dyDescent="0.35">
      <c r="A2" s="12" t="s">
        <v>43</v>
      </c>
      <c r="B2" s="4">
        <v>-1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3"/>
    </row>
    <row r="3" spans="1:30" x14ac:dyDescent="0.35">
      <c r="A3" s="12" t="s">
        <v>44</v>
      </c>
      <c r="B3" s="4">
        <v>0</v>
      </c>
      <c r="C3" s="4">
        <v>0</v>
      </c>
      <c r="D3" s="4">
        <v>0</v>
      </c>
      <c r="E3" s="4">
        <v>0</v>
      </c>
      <c r="F3" s="4">
        <v>0.36</v>
      </c>
      <c r="G3" s="4">
        <v>0.36</v>
      </c>
      <c r="H3" s="4">
        <v>0</v>
      </c>
      <c r="I3" s="4">
        <v>1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3"/>
    </row>
    <row r="4" spans="1:30" x14ac:dyDescent="0.35">
      <c r="A4" s="12" t="s">
        <v>45</v>
      </c>
      <c r="B4" s="4">
        <v>0</v>
      </c>
      <c r="C4" s="4">
        <v>0</v>
      </c>
      <c r="D4" s="4">
        <v>0</v>
      </c>
      <c r="E4" s="4">
        <v>0</v>
      </c>
      <c r="F4" s="4">
        <v>0.11</v>
      </c>
      <c r="G4" s="4">
        <v>0.11</v>
      </c>
      <c r="H4" s="4">
        <v>0</v>
      </c>
      <c r="I4" s="4">
        <v>0.28999999999999998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3"/>
    </row>
    <row r="5" spans="1:30" ht="29" x14ac:dyDescent="0.35">
      <c r="A5" s="12" t="s">
        <v>46</v>
      </c>
      <c r="B5" s="4">
        <v>0</v>
      </c>
      <c r="C5" s="4">
        <v>0</v>
      </c>
      <c r="D5" s="4">
        <v>0</v>
      </c>
      <c r="E5" s="4">
        <v>0</v>
      </c>
      <c r="F5" s="4">
        <v>1</v>
      </c>
      <c r="G5" s="4">
        <v>1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0.18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3"/>
    </row>
    <row r="6" spans="1:30" ht="29" x14ac:dyDescent="0.35">
      <c r="A6" s="12" t="s">
        <v>47</v>
      </c>
      <c r="B6" s="4">
        <v>0</v>
      </c>
      <c r="C6" s="4">
        <v>0</v>
      </c>
      <c r="D6" s="4">
        <v>0</v>
      </c>
      <c r="E6" s="4">
        <v>0</v>
      </c>
      <c r="F6" s="4">
        <v>1</v>
      </c>
      <c r="G6" s="4">
        <v>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0.28999999999999998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3"/>
    </row>
    <row r="7" spans="1:30" x14ac:dyDescent="0.35">
      <c r="A7" s="12" t="s">
        <v>48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3"/>
    </row>
    <row r="8" spans="1:30" x14ac:dyDescent="0.35">
      <c r="A8" s="12" t="s">
        <v>49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0.84</v>
      </c>
      <c r="AA8" s="4">
        <v>0</v>
      </c>
      <c r="AB8" s="4">
        <v>0</v>
      </c>
      <c r="AC8" s="4">
        <v>0</v>
      </c>
      <c r="AD8" s="3"/>
    </row>
    <row r="9" spans="1:30" x14ac:dyDescent="0.35">
      <c r="A9" s="12" t="s">
        <v>50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7350</v>
      </c>
      <c r="AC9" s="4">
        <v>12300</v>
      </c>
      <c r="AD9" s="3"/>
    </row>
    <row r="10" spans="1:30" x14ac:dyDescent="0.35">
      <c r="A10" s="8" t="s">
        <v>42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30" x14ac:dyDescent="0.35">
      <c r="A11" s="13"/>
      <c r="B11" s="3"/>
      <c r="C11" s="3"/>
      <c r="D11" s="3"/>
      <c r="E11" s="3"/>
      <c r="F11" s="3"/>
      <c r="G11" s="3"/>
      <c r="H11" s="3"/>
    </row>
    <row r="12" spans="1:30" x14ac:dyDescent="0.35">
      <c r="A12" s="13"/>
      <c r="B12" s="3"/>
      <c r="C12" s="3"/>
      <c r="D12" s="3"/>
      <c r="E12" s="3"/>
      <c r="F12" s="3"/>
      <c r="G12" s="3"/>
      <c r="H12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7CA2-46E6-4115-AA49-D9639AC4D73C}">
  <dimension ref="A1:B4"/>
  <sheetViews>
    <sheetView workbookViewId="0">
      <selection sqref="A1:XFD1"/>
    </sheetView>
  </sheetViews>
  <sheetFormatPr baseColWidth="10" defaultRowHeight="14.5" x14ac:dyDescent="0.35"/>
  <cols>
    <col min="1" max="1" width="23.26953125" style="8" customWidth="1"/>
  </cols>
  <sheetData>
    <row r="1" spans="1:2" s="8" customFormat="1" x14ac:dyDescent="0.35">
      <c r="B1" s="8" t="s">
        <v>35</v>
      </c>
    </row>
    <row r="2" spans="1:2" x14ac:dyDescent="0.35">
      <c r="A2" s="8" t="s">
        <v>3</v>
      </c>
      <c r="B2">
        <v>1000</v>
      </c>
    </row>
    <row r="3" spans="1:2" x14ac:dyDescent="0.35">
      <c r="A3" s="8" t="s">
        <v>4</v>
      </c>
      <c r="B3">
        <v>0</v>
      </c>
    </row>
    <row r="4" spans="1:2" x14ac:dyDescent="0.35">
      <c r="A4" s="8" t="s">
        <v>5</v>
      </c>
      <c r="B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3DF2-B269-4E30-A0B4-863F3659A8E1}">
  <dimension ref="A1:B7"/>
  <sheetViews>
    <sheetView tabSelected="1" workbookViewId="0">
      <selection activeCell="C14" sqref="C14"/>
    </sheetView>
  </sheetViews>
  <sheetFormatPr baseColWidth="10" defaultRowHeight="14.5" x14ac:dyDescent="0.35"/>
  <cols>
    <col min="1" max="1" width="23.26953125" style="8" customWidth="1"/>
  </cols>
  <sheetData>
    <row r="1" spans="1:2" s="8" customFormat="1" x14ac:dyDescent="0.35">
      <c r="B1" s="8" t="s">
        <v>35</v>
      </c>
    </row>
    <row r="2" spans="1:2" x14ac:dyDescent="0.35">
      <c r="A2" s="8" t="s">
        <v>3</v>
      </c>
      <c r="B2">
        <v>1000</v>
      </c>
    </row>
    <row r="3" spans="1:2" x14ac:dyDescent="0.35">
      <c r="A3" s="8" t="s">
        <v>4</v>
      </c>
      <c r="B3">
        <v>0</v>
      </c>
    </row>
    <row r="4" spans="1:2" x14ac:dyDescent="0.35">
      <c r="A4" s="10" t="s">
        <v>38</v>
      </c>
      <c r="B4">
        <v>0</v>
      </c>
    </row>
    <row r="5" spans="1:2" x14ac:dyDescent="0.35">
      <c r="A5" s="10" t="s">
        <v>39</v>
      </c>
      <c r="B5">
        <v>0</v>
      </c>
    </row>
    <row r="6" spans="1:2" x14ac:dyDescent="0.35">
      <c r="A6" s="8" t="s">
        <v>5</v>
      </c>
      <c r="B6">
        <v>0</v>
      </c>
    </row>
    <row r="7" spans="1:2" x14ac:dyDescent="0.35">
      <c r="A7" s="8" t="s">
        <v>40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A0</vt:lpstr>
      <vt:lpstr>B0</vt:lpstr>
      <vt:lpstr>A1</vt:lpstr>
      <vt:lpstr>B1</vt:lpstr>
      <vt:lpstr>A2</vt:lpstr>
      <vt:lpstr>B2</vt:lpstr>
      <vt:lpstr>C</vt:lpstr>
      <vt:lpstr>F0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NEFTI</dc:creator>
  <cp:lastModifiedBy>Doha NEFTI</cp:lastModifiedBy>
  <dcterms:created xsi:type="dcterms:W3CDTF">2026-04-08T08:10:41Z</dcterms:created>
  <dcterms:modified xsi:type="dcterms:W3CDTF">2026-07-01T14:13:34Z</dcterms:modified>
</cp:coreProperties>
</file>